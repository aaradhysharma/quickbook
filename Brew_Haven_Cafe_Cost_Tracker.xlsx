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rtup Costs" sheetId="2" state="visible" r:id="rId2"/>
    <sheet xmlns:r="http://schemas.openxmlformats.org/officeDocument/2006/relationships" name="Ongoing Expenses" sheetId="3" state="visible" r:id="rId3"/>
    <sheet xmlns:r="http://schemas.openxmlformats.org/officeDocument/2006/relationships" name="Monthly Ledger" sheetId="4" state="visible" r:id="rId4"/>
    <sheet xmlns:r="http://schemas.openxmlformats.org/officeDocument/2006/relationships" name="Profitability" sheetId="5" state="visible" r:id="rId5"/>
    <sheet xmlns:r="http://schemas.openxmlformats.org/officeDocument/2006/relationships" name="Regression" sheetId="6" state="visible" r:id="rId6"/>
    <sheet xmlns:r="http://schemas.openxmlformats.org/officeDocument/2006/relationships" name="Cost Type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0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B4332"/>
      <sz val="16"/>
    </font>
    <font>
      <name val="Calibri"/>
      <b val="1"/>
      <color rgb="002D6A4F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0F7F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8E2DC"/>
      </left>
      <right style="thin">
        <color rgb="00D8E2DC"/>
      </right>
      <top style="thin">
        <color rgb="00D8E2DC"/>
      </top>
      <bottom style="thin">
        <color rgb="00D8E2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164" fontId="4" fillId="6" borderId="0" pivotButton="0" quotePrefix="0" xfId="0"/>
    <xf numFmtId="0" fontId="0" fillId="7" borderId="1" pivotButton="0" quotePrefix="0" xfId="0"/>
    <xf numFmtId="164" fontId="4" fillId="4" borderId="0" pivotButton="0" quotePrefix="0" xfId="0"/>
    <xf numFmtId="164" fontId="4" fillId="5" borderId="0" pivotButton="0" quotePrefix="0" xfId="0"/>
    <xf numFmtId="164" fontId="4" fillId="7" borderId="0" pivotButton="0" quotePrefix="0" xfId="0"/>
    <xf numFmtId="3" fontId="0" fillId="0" borderId="1" pivotButton="0" quotePrefix="0" xfId="0"/>
    <xf numFmtId="164" fontId="0" fillId="6" borderId="1" pivotButton="0" quotePrefix="0" xfId="0"/>
    <xf numFmtId="166" fontId="0" fillId="0" borderId="1" pivotButton="0" quotePrefix="0" xfId="0"/>
    <xf numFmtId="3" fontId="0" fillId="3" borderId="1" pivotButton="0" quotePrefix="0" xfId="0"/>
    <xf numFmtId="166" fontId="0" fillId="3" borderId="1" pivotButton="0" quotePrefix="0" xfId="0"/>
    <xf numFmtId="165" fontId="0" fillId="0" borderId="1" pivotButton="0" quotePrefix="0" xfId="0"/>
    <xf numFmtId="1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Total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Ledger'!C3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Ledger'!$A$4:$A$15</f>
            </numRef>
          </cat>
          <val>
            <numRef>
              <f>'Monthly Ledger'!$C$4:$C$15</f>
            </numRef>
          </val>
        </ser>
        <ser>
          <idx val="1"/>
          <order val="1"/>
          <tx>
            <strRef>
              <f>'Monthly Ledger'!D3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Ledger'!$A$4:$A$15</f>
            </numRef>
          </cat>
          <val>
            <numRef>
              <f>'Monthly Ledger'!$D$4:$D$15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Cost vs Cups Sold</a:t>
            </a:r>
          </a:p>
        </rich>
      </tx>
    </title>
    <plotArea>
      <scatterChart>
        <ser>
          <idx val="0"/>
          <order val="0"/>
          <tx>
            <v>Actual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'Regression'!$G$17:$G$28</f>
            </numRef>
          </xVal>
          <yVal>
            <numRef>
              <f>'Regression'!$H$16:$H$28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Cups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37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37</row>
      <rowOff>0</rowOff>
    </from>
    <ext cx="51435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Brew Haven Cafe — Cost Tracker &amp; Profitability Analysis</t>
        </is>
      </c>
    </row>
    <row r="2">
      <c r="A2" s="2" t="inlineStr">
        <is>
          <t>Alternative to QuickBooks: Excel workbook (Google Sheets–compatible)</t>
        </is>
      </c>
    </row>
    <row r="3">
      <c r="A3" t="inlineStr">
        <is>
          <t>Version 0.0.1  |  Hypothetical neighborhood coffee shop</t>
        </is>
      </c>
    </row>
    <row r="4"/>
    <row r="5">
      <c r="A5" s="3" t="inlineStr">
        <is>
          <t>Field</t>
        </is>
      </c>
      <c r="B5" s="3" t="inlineStr">
        <is>
          <t>Detail</t>
        </is>
      </c>
    </row>
    <row r="6">
      <c r="A6" s="4" t="inlineStr">
        <is>
          <t>Business</t>
        </is>
      </c>
      <c r="B6" s="4" t="inlineStr">
        <is>
          <t>Brew Haven Cafe — specialty coffee shop in a mid-size city</t>
        </is>
      </c>
    </row>
    <row r="7">
      <c r="A7" s="5" t="inlineStr">
        <is>
          <t>Tool used</t>
        </is>
      </c>
      <c r="B7" s="5" t="inlineStr">
        <is>
          <t>Microsoft Excel (openpyxl) — same structure works in Google Sheets</t>
        </is>
      </c>
    </row>
    <row r="8">
      <c r="A8" s="4" t="inlineStr">
        <is>
          <t>Learning goal</t>
        </is>
      </c>
      <c r="B8" s="4" t="inlineStr">
        <is>
          <t>Categorize fixed vs variable costs; project profit; forecast with regression</t>
        </is>
      </c>
    </row>
    <row r="9">
      <c r="A9" s="5" t="inlineStr">
        <is>
          <t>Avg selling price / cup</t>
        </is>
      </c>
      <c r="B9" s="5" t="inlineStr">
        <is>
          <t>$5.50 blended ticket</t>
        </is>
      </c>
    </row>
    <row r="10">
      <c r="A10" s="4" t="inlineStr">
        <is>
          <t>Startup capital required</t>
        </is>
      </c>
      <c r="B10" s="6" t="n">
        <v>45200</v>
      </c>
    </row>
    <row r="11">
      <c r="A11" s="5" t="inlineStr">
        <is>
          <t>Typical monthly fixed costs</t>
        </is>
      </c>
      <c r="B11" s="7" t="n">
        <v>13170</v>
      </c>
    </row>
    <row r="12">
      <c r="A12" s="4" t="inlineStr">
        <is>
          <t>Typical monthly variable costs</t>
        </is>
      </c>
      <c r="B12" s="6" t="n">
        <v>5180</v>
      </c>
    </row>
    <row r="13">
      <c r="A13" s="5" t="inlineStr">
        <is>
          <t>Regression model</t>
        </is>
      </c>
      <c r="B13" s="5" t="inlineStr">
        <is>
          <t>Total Cost = 8728.31 + 1.8908 × Cups</t>
        </is>
      </c>
    </row>
    <row r="14">
      <c r="A14" s="4" t="inlineStr">
        <is>
          <t>R-squared</t>
        </is>
      </c>
      <c r="B14" s="8" t="n">
        <v>0.999499749591376</v>
      </c>
    </row>
    <row r="15"/>
    <row r="16"/>
    <row r="17">
      <c r="A17" s="2" t="inlineStr">
        <is>
          <t>How to use (mirrors Jeremy’s Tutorials / Davie Mach spreadsheet bookkeeping)</t>
        </is>
      </c>
    </row>
    <row r="18">
      <c r="A18" t="inlineStr">
        <is>
          <t>1. Enter every cost on Startup Costs and Ongoing Expenses sheets; tag Fixed / Variable / Mixed.</t>
        </is>
      </c>
    </row>
    <row r="19">
      <c r="A19" t="inlineStr">
        <is>
          <t>2. Review Monthly Ledger for 12 months of volume, cost, and revenue.</t>
        </is>
      </c>
    </row>
    <row r="20">
      <c r="A20" t="inlineStr">
        <is>
          <t>3. Check Profitability for contribution margin, break-even, and projected profit.</t>
        </is>
      </c>
    </row>
    <row r="21">
      <c r="A21" t="inlineStr">
        <is>
          <t>4. Open Regression sheet for slope, intercept, R², and 3-month cost forecasts.</t>
        </is>
      </c>
    </row>
    <row r="22">
      <c r="A22" t="inlineStr">
        <is>
          <t>5. Use charts / screenshot images for the written report appendix.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12" customWidth="1" min="3" max="3"/>
    <col width="11" customWidth="1" min="4" max="4"/>
    <col width="14" customWidth="1" min="5" max="5"/>
  </cols>
  <sheetData>
    <row r="1">
      <c r="A1" s="1" t="inlineStr">
        <is>
          <t>Startup Costs — Brew Haven Cafe</t>
        </is>
      </c>
    </row>
    <row r="2"/>
    <row r="3">
      <c r="A3" s="3" t="inlineStr">
        <is>
          <t>#</t>
        </is>
      </c>
      <c r="B3" s="3" t="inlineStr">
        <is>
          <t>Item</t>
        </is>
      </c>
      <c r="C3" s="3" t="inlineStr">
        <is>
          <t>Amount ($)</t>
        </is>
      </c>
      <c r="D3" s="3" t="inlineStr">
        <is>
          <t>Cost Type</t>
        </is>
      </c>
      <c r="E3" s="3" t="inlineStr">
        <is>
          <t>Category</t>
        </is>
      </c>
    </row>
    <row r="4">
      <c r="A4" s="5" t="n">
        <v>1</v>
      </c>
      <c r="B4" s="5" t="inlineStr">
        <is>
          <t>Espresso machine (2-group)</t>
        </is>
      </c>
      <c r="C4" s="7" t="n">
        <v>8500</v>
      </c>
      <c r="D4" s="9" t="inlineStr">
        <is>
          <t>Fixed</t>
        </is>
      </c>
      <c r="E4" s="5" t="inlineStr">
        <is>
          <t>Equipment</t>
        </is>
      </c>
    </row>
    <row r="5">
      <c r="A5" s="5" t="n">
        <v>2</v>
      </c>
      <c r="B5" s="5" t="inlineStr">
        <is>
          <t>Commercial grinders (x2)</t>
        </is>
      </c>
      <c r="C5" s="7" t="n">
        <v>1600</v>
      </c>
      <c r="D5" s="9" t="inlineStr">
        <is>
          <t>Fixed</t>
        </is>
      </c>
      <c r="E5" s="5" t="inlineStr">
        <is>
          <t>Equipment</t>
        </is>
      </c>
    </row>
    <row r="6">
      <c r="A6" s="5" t="n">
        <v>3</v>
      </c>
      <c r="B6" s="5" t="inlineStr">
        <is>
          <t>Furniture &amp; seating</t>
        </is>
      </c>
      <c r="C6" s="7" t="n">
        <v>5200</v>
      </c>
      <c r="D6" s="9" t="inlineStr">
        <is>
          <t>Fixed</t>
        </is>
      </c>
      <c r="E6" s="5" t="inlineStr">
        <is>
          <t>Furnishings</t>
        </is>
      </c>
    </row>
    <row r="7">
      <c r="A7" s="5" t="n">
        <v>4</v>
      </c>
      <c r="B7" s="5" t="inlineStr">
        <is>
          <t>Lease deposit (2 months)</t>
        </is>
      </c>
      <c r="C7" s="7" t="n">
        <v>7000</v>
      </c>
      <c r="D7" s="9" t="inlineStr">
        <is>
          <t>Fixed</t>
        </is>
      </c>
      <c r="E7" s="5" t="inlineStr">
        <is>
          <t>Facilities</t>
        </is>
      </c>
    </row>
    <row r="8">
      <c r="A8" s="5" t="n">
        <v>5</v>
      </c>
      <c r="B8" s="5" t="inlineStr">
        <is>
          <t>Build-out / renovations</t>
        </is>
      </c>
      <c r="C8" s="7" t="n">
        <v>9500</v>
      </c>
      <c r="D8" s="9" t="inlineStr">
        <is>
          <t>Fixed</t>
        </is>
      </c>
      <c r="E8" s="5" t="inlineStr">
        <is>
          <t>Facilities</t>
        </is>
      </c>
    </row>
    <row r="9">
      <c r="A9" s="5" t="n">
        <v>6</v>
      </c>
      <c r="B9" s="5" t="inlineStr">
        <is>
          <t>Business licenses &amp; permits</t>
        </is>
      </c>
      <c r="C9" s="7" t="n">
        <v>850</v>
      </c>
      <c r="D9" s="9" t="inlineStr">
        <is>
          <t>Fixed</t>
        </is>
      </c>
      <c r="E9" s="5" t="inlineStr">
        <is>
          <t>Legal</t>
        </is>
      </c>
    </row>
    <row r="10">
      <c r="A10" s="5" t="n">
        <v>7</v>
      </c>
      <c r="B10" s="5" t="inlineStr">
        <is>
          <t>Initial inventory (beans, milk, cups)</t>
        </is>
      </c>
      <c r="C10" s="7" t="n">
        <v>2800</v>
      </c>
      <c r="D10" s="10" t="inlineStr">
        <is>
          <t>Variable</t>
        </is>
      </c>
      <c r="E10" s="5" t="inlineStr">
        <is>
          <t>Inventory</t>
        </is>
      </c>
    </row>
    <row r="11">
      <c r="A11" s="5" t="n">
        <v>8</v>
      </c>
      <c r="B11" s="5" t="inlineStr">
        <is>
          <t>POS system &amp; tablets</t>
        </is>
      </c>
      <c r="C11" s="7" t="n">
        <v>1400</v>
      </c>
      <c r="D11" s="9" t="inlineStr">
        <is>
          <t>Fixed</t>
        </is>
      </c>
      <c r="E11" s="5" t="inlineStr">
        <is>
          <t>Technology</t>
        </is>
      </c>
    </row>
    <row r="12">
      <c r="A12" s="5" t="n">
        <v>9</v>
      </c>
      <c r="B12" s="5" t="inlineStr">
        <is>
          <t>Exterior signage &amp; branding</t>
        </is>
      </c>
      <c r="C12" s="7" t="n">
        <v>1200</v>
      </c>
      <c r="D12" s="9" t="inlineStr">
        <is>
          <t>Fixed</t>
        </is>
      </c>
      <c r="E12" s="5" t="inlineStr">
        <is>
          <t>Marketing</t>
        </is>
      </c>
    </row>
    <row r="13">
      <c r="A13" s="5" t="n">
        <v>10</v>
      </c>
      <c r="B13" s="5" t="inlineStr">
        <is>
          <t>Opening marketing campaign</t>
        </is>
      </c>
      <c r="C13" s="7" t="n">
        <v>1500</v>
      </c>
      <c r="D13" s="9" t="inlineStr">
        <is>
          <t>Fixed</t>
        </is>
      </c>
      <c r="E13" s="5" t="inlineStr">
        <is>
          <t>Marketing</t>
        </is>
      </c>
    </row>
    <row r="14">
      <c r="A14" s="5" t="n">
        <v>11</v>
      </c>
      <c r="B14" s="5" t="inlineStr">
        <is>
          <t>Smallwares (pitchers, scales, etc.)</t>
        </is>
      </c>
      <c r="C14" s="7" t="n">
        <v>650</v>
      </c>
      <c r="D14" s="9" t="inlineStr">
        <is>
          <t>Fixed</t>
        </is>
      </c>
      <c r="E14" s="5" t="inlineStr">
        <is>
          <t>Equipment</t>
        </is>
      </c>
    </row>
    <row r="15">
      <c r="A15" s="5" t="n">
        <v>12</v>
      </c>
      <c r="B15" s="5" t="inlineStr">
        <is>
          <t>Working capital buffer</t>
        </is>
      </c>
      <c r="C15" s="7" t="n">
        <v>5000</v>
      </c>
      <c r="D15" s="9" t="inlineStr">
        <is>
          <t>Fixed</t>
        </is>
      </c>
      <c r="E15" s="5" t="inlineStr">
        <is>
          <t>Cash reserve</t>
        </is>
      </c>
    </row>
    <row r="16">
      <c r="B16" s="11" t="inlineStr">
        <is>
          <t>TOTAL STARTUP CAPITAL</t>
        </is>
      </c>
      <c r="C16" s="12" t="n">
        <v>45200</v>
      </c>
    </row>
    <row r="17"/>
    <row r="18">
      <c r="A18" t="inlineStr">
        <is>
          <t>Note: Fixed startup costs do not change with first-month sales volume. Initial inventory is treated as variable because usage scales with cups sold.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12" customWidth="1" min="3" max="3"/>
    <col width="11" customWidth="1" min="4" max="4"/>
    <col width="12" customWidth="1" min="5" max="5"/>
    <col width="42" customWidth="1" min="6" max="6"/>
  </cols>
  <sheetData>
    <row r="1">
      <c r="A1" s="1" t="inlineStr">
        <is>
          <t>Ongoing Monthly Expenses — Categorized Fixed / Variable / Mixed</t>
        </is>
      </c>
    </row>
    <row r="2"/>
    <row r="3">
      <c r="A3" s="3" t="inlineStr">
        <is>
          <t>#</t>
        </is>
      </c>
      <c r="B3" s="3" t="inlineStr">
        <is>
          <t>Expense</t>
        </is>
      </c>
      <c r="C3" s="3" t="inlineStr">
        <is>
          <t>Amount ($)</t>
        </is>
      </c>
      <c r="D3" s="3" t="inlineStr">
        <is>
          <t>Cost Type</t>
        </is>
      </c>
      <c r="E3" s="3" t="inlineStr">
        <is>
          <t>Category</t>
        </is>
      </c>
      <c r="F3" s="3" t="inlineStr">
        <is>
          <t>Notes</t>
        </is>
      </c>
    </row>
    <row r="4">
      <c r="A4" s="5" t="n">
        <v>1</v>
      </c>
      <c r="B4" s="5" t="inlineStr">
        <is>
          <t>Rent</t>
        </is>
      </c>
      <c r="C4" s="7" t="n">
        <v>3500</v>
      </c>
      <c r="D4" s="9" t="inlineStr">
        <is>
          <t>Fixed</t>
        </is>
      </c>
      <c r="E4" s="5" t="inlineStr">
        <is>
          <t>Facilities</t>
        </is>
      </c>
      <c r="F4" s="5" t="inlineStr">
        <is>
          <t>Lease — constant each month</t>
        </is>
      </c>
    </row>
    <row r="5">
      <c r="A5" s="5" t="n">
        <v>2</v>
      </c>
      <c r="B5" s="5" t="inlineStr">
        <is>
          <t>Base salaries (manager + 2 baristas)</t>
        </is>
      </c>
      <c r="C5" s="7" t="n">
        <v>8200</v>
      </c>
      <c r="D5" s="9" t="inlineStr">
        <is>
          <t>Fixed</t>
        </is>
      </c>
      <c r="E5" s="5" t="inlineStr">
        <is>
          <t>Labor</t>
        </is>
      </c>
      <c r="F5" s="5" t="inlineStr">
        <is>
          <t>Guaranteed hours regardless of traffic</t>
        </is>
      </c>
    </row>
    <row r="6">
      <c r="A6" s="5" t="n">
        <v>3</v>
      </c>
      <c r="B6" s="5" t="inlineStr">
        <is>
          <t>Hourly labor (volume-driven)</t>
        </is>
      </c>
      <c r="C6" s="7" t="n">
        <v>2100</v>
      </c>
      <c r="D6" s="10" t="inlineStr">
        <is>
          <t>Variable</t>
        </is>
      </c>
      <c r="E6" s="5" t="inlineStr">
        <is>
          <t>Labor</t>
        </is>
      </c>
      <c r="F6" s="5" t="inlineStr">
        <is>
          <t>Extra shifts when cup volume rises</t>
        </is>
      </c>
    </row>
    <row r="7">
      <c r="A7" s="5" t="n">
        <v>4</v>
      </c>
      <c r="B7" s="5" t="inlineStr">
        <is>
          <t>Coffee beans &amp; tea</t>
        </is>
      </c>
      <c r="C7" s="7" t="n">
        <v>1680</v>
      </c>
      <c r="D7" s="10" t="inlineStr">
        <is>
          <t>Variable</t>
        </is>
      </c>
      <c r="E7" s="5" t="inlineStr">
        <is>
          <t>COGS</t>
        </is>
      </c>
      <c r="F7" s="5" t="inlineStr">
        <is>
          <t>~$0.40/cup COGS</t>
        </is>
      </c>
    </row>
    <row r="8">
      <c r="A8" s="5" t="n">
        <v>5</v>
      </c>
      <c r="B8" s="5" t="inlineStr">
        <is>
          <t>Milk, syrups &amp; dairy alternatives</t>
        </is>
      </c>
      <c r="C8" s="7" t="n">
        <v>920</v>
      </c>
      <c r="D8" s="10" t="inlineStr">
        <is>
          <t>Variable</t>
        </is>
      </c>
      <c r="E8" s="5" t="inlineStr">
        <is>
          <t>COGS</t>
        </is>
      </c>
      <c r="F8" s="5" t="inlineStr">
        <is>
          <t>~$0.22/cup COGS</t>
        </is>
      </c>
    </row>
    <row r="9">
      <c r="A9" s="5" t="n">
        <v>6</v>
      </c>
      <c r="B9" s="5" t="inlineStr">
        <is>
          <t>Cups, lids, sleeves, napkins</t>
        </is>
      </c>
      <c r="C9" s="7" t="n">
        <v>480</v>
      </c>
      <c r="D9" s="10" t="inlineStr">
        <is>
          <t>Variable</t>
        </is>
      </c>
      <c r="E9" s="5" t="inlineStr">
        <is>
          <t>COGS</t>
        </is>
      </c>
      <c r="F9" s="5" t="inlineStr">
        <is>
          <t>~$0.11/cup packaging</t>
        </is>
      </c>
    </row>
    <row r="10">
      <c r="A10" s="5" t="n">
        <v>7</v>
      </c>
      <c r="B10" s="5" t="inlineStr">
        <is>
          <t>Utilities (electricity, water, gas)</t>
        </is>
      </c>
      <c r="C10" s="7" t="n">
        <v>620</v>
      </c>
      <c r="D10" s="13" t="inlineStr">
        <is>
          <t>Mixed</t>
        </is>
      </c>
      <c r="E10" s="5" t="inlineStr">
        <is>
          <t>Facilities</t>
        </is>
      </c>
      <c r="F10" s="5" t="inlineStr">
        <is>
          <t>Base + usage; partly volume-sensitive</t>
        </is>
      </c>
    </row>
    <row r="11">
      <c r="A11" s="5" t="n">
        <v>8</v>
      </c>
      <c r="B11" s="5" t="inlineStr">
        <is>
          <t>Insurance</t>
        </is>
      </c>
      <c r="C11" s="7" t="n">
        <v>275</v>
      </c>
      <c r="D11" s="9" t="inlineStr">
        <is>
          <t>Fixed</t>
        </is>
      </c>
      <c r="E11" s="5" t="inlineStr">
        <is>
          <t>Insurance</t>
        </is>
      </c>
      <c r="F11" s="5" t="inlineStr">
        <is>
          <t>Annual policy / 12</t>
        </is>
      </c>
    </row>
    <row r="12">
      <c r="A12" s="5" t="n">
        <v>9</v>
      </c>
      <c r="B12" s="5" t="inlineStr">
        <is>
          <t>Software (POS, payroll, accounting)</t>
        </is>
      </c>
      <c r="C12" s="7" t="n">
        <v>165</v>
      </c>
      <c r="D12" s="9" t="inlineStr">
        <is>
          <t>Fixed</t>
        </is>
      </c>
      <c r="E12" s="5" t="inlineStr">
        <is>
          <t>Technology</t>
        </is>
      </c>
      <c r="F12" s="5" t="inlineStr">
        <is>
          <t>Subscriptions (QuickBooks-style alternative)</t>
        </is>
      </c>
    </row>
    <row r="13">
      <c r="A13" s="5" t="n">
        <v>10</v>
      </c>
      <c r="B13" s="5" t="inlineStr">
        <is>
          <t>Marketing / social ads</t>
        </is>
      </c>
      <c r="C13" s="7" t="n">
        <v>400</v>
      </c>
      <c r="D13" s="9" t="inlineStr">
        <is>
          <t>Fixed</t>
        </is>
      </c>
      <c r="E13" s="5" t="inlineStr">
        <is>
          <t>Marketing</t>
        </is>
      </c>
      <c r="F13" s="5" t="inlineStr">
        <is>
          <t>Planned monthly spend</t>
        </is>
      </c>
    </row>
    <row r="14">
      <c r="A14" s="5" t="n">
        <v>11</v>
      </c>
      <c r="B14" s="5" t="inlineStr">
        <is>
          <t>Maintenance &amp; supplies</t>
        </is>
      </c>
      <c r="C14" s="7" t="n">
        <v>180</v>
      </c>
      <c r="D14" s="9" t="inlineStr">
        <is>
          <t>Fixed</t>
        </is>
      </c>
      <c r="E14" s="5" t="inlineStr">
        <is>
          <t>Operations</t>
        </is>
      </c>
      <c r="F14" s="5" t="inlineStr">
        <is>
          <t>Cleaning &amp; small repairs</t>
        </is>
      </c>
    </row>
    <row r="15">
      <c r="A15" s="5" t="n">
        <v>12</v>
      </c>
      <c r="B15" s="5" t="inlineStr">
        <is>
          <t>Loan / equipment payment</t>
        </is>
      </c>
      <c r="C15" s="7" t="n">
        <v>450</v>
      </c>
      <c r="D15" s="9" t="inlineStr">
        <is>
          <t>Fixed</t>
        </is>
      </c>
      <c r="E15" s="5" t="inlineStr">
        <is>
          <t>Debt</t>
        </is>
      </c>
      <c r="F15" s="5" t="inlineStr">
        <is>
          <t>Financed espresso equipment</t>
        </is>
      </c>
    </row>
    <row r="16">
      <c r="B16" s="11" t="inlineStr">
        <is>
          <t>Total Fixed</t>
        </is>
      </c>
      <c r="C16" s="14" t="n">
        <v>13170</v>
      </c>
    </row>
    <row r="17">
      <c r="B17" s="11" t="inlineStr">
        <is>
          <t>Total Variable</t>
        </is>
      </c>
      <c r="C17" s="15" t="n">
        <v>5180</v>
      </c>
    </row>
    <row r="18">
      <c r="B18" s="11" t="inlineStr">
        <is>
          <t>Total Mixed</t>
        </is>
      </c>
      <c r="C18" s="16" t="n">
        <v>620</v>
      </c>
    </row>
    <row r="19">
      <c r="B19" s="11" t="inlineStr">
        <is>
          <t>TOTAL MONTHLY</t>
        </is>
      </c>
      <c r="C19" s="12" t="n">
        <v>18970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6" customWidth="1" min="3" max="3"/>
    <col width="13" customWidth="1" min="4" max="4"/>
    <col width="12" customWidth="1" min="5" max="5"/>
    <col width="20" customWidth="1" min="6" max="6"/>
    <col width="21" customWidth="1" min="7" max="7"/>
  </cols>
  <sheetData>
    <row r="1">
      <c r="A1" s="1" t="inlineStr">
        <is>
          <t>12-Month Operating Ledger (Sample Actuals)</t>
        </is>
      </c>
    </row>
    <row r="2"/>
    <row r="3">
      <c r="A3" s="3" t="inlineStr">
        <is>
          <t>Month</t>
        </is>
      </c>
      <c r="B3" s="3" t="inlineStr">
        <is>
          <t>Cups Sold (Q)</t>
        </is>
      </c>
      <c r="C3" s="3" t="inlineStr">
        <is>
          <t>Total Cost ($)</t>
        </is>
      </c>
      <c r="D3" s="3" t="inlineStr">
        <is>
          <t>Revenue ($)</t>
        </is>
      </c>
      <c r="E3" s="3" t="inlineStr">
        <is>
          <t>Profit ($)</t>
        </is>
      </c>
      <c r="F3" s="3" t="inlineStr">
        <is>
          <t>Cost/Cup</t>
        </is>
      </c>
      <c r="G3" s="3" t="inlineStr">
        <is>
          <t>Profit Margin</t>
        </is>
      </c>
    </row>
    <row r="4">
      <c r="A4" s="5" t="inlineStr">
        <is>
          <t>Jan</t>
        </is>
      </c>
      <c r="B4" s="17" t="n">
        <v>3200</v>
      </c>
      <c r="C4" s="7" t="n">
        <v>14820</v>
      </c>
      <c r="D4" s="7" t="n">
        <v>17600</v>
      </c>
      <c r="E4" s="18" t="n">
        <v>2780</v>
      </c>
      <c r="F4" s="7" t="n">
        <v>4.63125</v>
      </c>
      <c r="G4" s="19" t="n">
        <v>0.1579545454545455</v>
      </c>
    </row>
    <row r="5">
      <c r="A5" s="5" t="inlineStr">
        <is>
          <t>Feb</t>
        </is>
      </c>
      <c r="B5" s="17" t="n">
        <v>3450</v>
      </c>
      <c r="C5" s="7" t="n">
        <v>15240</v>
      </c>
      <c r="D5" s="7" t="n">
        <v>18975</v>
      </c>
      <c r="E5" s="18" t="n">
        <v>3735</v>
      </c>
      <c r="F5" s="7" t="n">
        <v>4.417391304347826</v>
      </c>
      <c r="G5" s="19" t="n">
        <v>0.1968379446640316</v>
      </c>
    </row>
    <row r="6">
      <c r="A6" s="5" t="inlineStr">
        <is>
          <t>Mar</t>
        </is>
      </c>
      <c r="B6" s="17" t="n">
        <v>3800</v>
      </c>
      <c r="C6" s="7" t="n">
        <v>15890</v>
      </c>
      <c r="D6" s="7" t="n">
        <v>20900</v>
      </c>
      <c r="E6" s="18" t="n">
        <v>5010</v>
      </c>
      <c r="F6" s="7" t="n">
        <v>4.181578947368421</v>
      </c>
      <c r="G6" s="19" t="n">
        <v>0.2397129186602871</v>
      </c>
    </row>
    <row r="7">
      <c r="A7" s="5" t="inlineStr">
        <is>
          <t>Apr</t>
        </is>
      </c>
      <c r="B7" s="17" t="n">
        <v>4100</v>
      </c>
      <c r="C7" s="7" t="n">
        <v>16450</v>
      </c>
      <c r="D7" s="7" t="n">
        <v>22550</v>
      </c>
      <c r="E7" s="18" t="n">
        <v>6100</v>
      </c>
      <c r="F7" s="7" t="n">
        <v>4.012195121951219</v>
      </c>
      <c r="G7" s="19" t="n">
        <v>0.270509977827051</v>
      </c>
    </row>
    <row r="8">
      <c r="A8" s="5" t="inlineStr">
        <is>
          <t>May</t>
        </is>
      </c>
      <c r="B8" s="17" t="n">
        <v>4450</v>
      </c>
      <c r="C8" s="7" t="n">
        <v>17120</v>
      </c>
      <c r="D8" s="7" t="n">
        <v>24475</v>
      </c>
      <c r="E8" s="18" t="n">
        <v>7355</v>
      </c>
      <c r="F8" s="7" t="n">
        <v>3.847191011235955</v>
      </c>
      <c r="G8" s="19" t="n">
        <v>0.3005107252298264</v>
      </c>
    </row>
    <row r="9">
      <c r="A9" s="5" t="inlineStr">
        <is>
          <t>Jun</t>
        </is>
      </c>
      <c r="B9" s="17" t="n">
        <v>4800</v>
      </c>
      <c r="C9" s="7" t="n">
        <v>17800</v>
      </c>
      <c r="D9" s="7" t="n">
        <v>26400</v>
      </c>
      <c r="E9" s="18" t="n">
        <v>8600</v>
      </c>
      <c r="F9" s="7" t="n">
        <v>3.708333333333333</v>
      </c>
      <c r="G9" s="19" t="n">
        <v>0.3257575757575757</v>
      </c>
    </row>
    <row r="10">
      <c r="A10" s="5" t="inlineStr">
        <is>
          <t>Jul</t>
        </is>
      </c>
      <c r="B10" s="17" t="n">
        <v>5100</v>
      </c>
      <c r="C10" s="7" t="n">
        <v>18350</v>
      </c>
      <c r="D10" s="7" t="n">
        <v>28050</v>
      </c>
      <c r="E10" s="18" t="n">
        <v>9700</v>
      </c>
      <c r="F10" s="7" t="n">
        <v>3.598039215686275</v>
      </c>
      <c r="G10" s="19" t="n">
        <v>0.3458110516934046</v>
      </c>
    </row>
    <row r="11">
      <c r="A11" s="5" t="inlineStr">
        <is>
          <t>Aug</t>
        </is>
      </c>
      <c r="B11" s="17" t="n">
        <v>4950</v>
      </c>
      <c r="C11" s="7" t="n">
        <v>18120</v>
      </c>
      <c r="D11" s="7" t="n">
        <v>27225</v>
      </c>
      <c r="E11" s="18" t="n">
        <v>9105</v>
      </c>
      <c r="F11" s="7" t="n">
        <v>3.660606060606061</v>
      </c>
      <c r="G11" s="19" t="n">
        <v>0.334435261707989</v>
      </c>
    </row>
    <row r="12">
      <c r="A12" s="5" t="inlineStr">
        <is>
          <t>Sep</t>
        </is>
      </c>
      <c r="B12" s="17" t="n">
        <v>4300</v>
      </c>
      <c r="C12" s="7" t="n">
        <v>16880</v>
      </c>
      <c r="D12" s="7" t="n">
        <v>23650</v>
      </c>
      <c r="E12" s="18" t="n">
        <v>6770</v>
      </c>
      <c r="F12" s="7" t="n">
        <v>3.925581395348837</v>
      </c>
      <c r="G12" s="19" t="n">
        <v>0.2862579281183932</v>
      </c>
    </row>
    <row r="13">
      <c r="A13" s="5" t="inlineStr">
        <is>
          <t>Oct</t>
        </is>
      </c>
      <c r="B13" s="17" t="n">
        <v>4000</v>
      </c>
      <c r="C13" s="7" t="n">
        <v>16290</v>
      </c>
      <c r="D13" s="7" t="n">
        <v>22000</v>
      </c>
      <c r="E13" s="18" t="n">
        <v>5710</v>
      </c>
      <c r="F13" s="7" t="n">
        <v>4.0725</v>
      </c>
      <c r="G13" s="19" t="n">
        <v>0.2595454545454545</v>
      </c>
    </row>
    <row r="14">
      <c r="A14" s="5" t="inlineStr">
        <is>
          <t>Nov</t>
        </is>
      </c>
      <c r="B14" s="17" t="n">
        <v>3700</v>
      </c>
      <c r="C14" s="7" t="n">
        <v>15710</v>
      </c>
      <c r="D14" s="7" t="n">
        <v>20350</v>
      </c>
      <c r="E14" s="18" t="n">
        <v>4640</v>
      </c>
      <c r="F14" s="7" t="n">
        <v>4.245945945945946</v>
      </c>
      <c r="G14" s="19" t="n">
        <v>0.228009828009828</v>
      </c>
    </row>
    <row r="15">
      <c r="A15" s="5" t="inlineStr">
        <is>
          <t>Dec</t>
        </is>
      </c>
      <c r="B15" s="17" t="n">
        <v>4600</v>
      </c>
      <c r="C15" s="7" t="n">
        <v>17460</v>
      </c>
      <c r="D15" s="7" t="n">
        <v>25300</v>
      </c>
      <c r="E15" s="18" t="n">
        <v>7840</v>
      </c>
      <c r="F15" s="7" t="n">
        <v>3.795652173913044</v>
      </c>
      <c r="G15" s="19" t="n">
        <v>0.3098814229249012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0" customWidth="1" min="3" max="3"/>
    <col width="19" customWidth="1" min="4" max="4"/>
    <col width="20" customWidth="1" min="5" max="5"/>
  </cols>
  <sheetData>
    <row r="1">
      <c r="A1" s="1" t="inlineStr">
        <is>
          <t>Profitability Projection</t>
        </is>
      </c>
    </row>
    <row r="2"/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Average monthly cups</t>
        </is>
      </c>
      <c r="B4" s="20" t="n">
        <v>4204.166666666667</v>
      </c>
    </row>
    <row r="5">
      <c r="A5" s="5" t="inlineStr">
        <is>
          <t>Average monthly revenue</t>
        </is>
      </c>
      <c r="B5" s="7" t="n">
        <v>23122.91666666667</v>
      </c>
    </row>
    <row r="6">
      <c r="A6" s="4" t="inlineStr">
        <is>
          <t>Average monthly total cost</t>
        </is>
      </c>
      <c r="B6" s="6" t="n">
        <v>16677.5</v>
      </c>
    </row>
    <row r="7">
      <c r="A7" s="5" t="inlineStr">
        <is>
          <t>Average monthly profit</t>
        </is>
      </c>
      <c r="B7" s="7" t="n">
        <v>6445.416666666668</v>
      </c>
    </row>
    <row r="8">
      <c r="A8" s="4" t="inlineStr">
        <is>
          <t>Average profit margin</t>
        </is>
      </c>
      <c r="B8" s="21" t="n">
        <v>0.2787458329579242</v>
      </c>
    </row>
    <row r="9">
      <c r="A9" s="5" t="inlineStr">
        <is>
          <t>Estimated fixed cost (regression intercept)</t>
        </is>
      </c>
      <c r="B9" s="7" t="n">
        <v>8728.310256544228</v>
      </c>
    </row>
    <row r="10">
      <c r="A10" s="4" t="inlineStr">
        <is>
          <t>Estimated variable cost per cup (slope)</t>
        </is>
      </c>
      <c r="B10" s="6" t="n">
        <v>1.890788442447359</v>
      </c>
    </row>
    <row r="11">
      <c r="A11" s="5" t="inlineStr">
        <is>
          <t>Average selling price per cup</t>
        </is>
      </c>
      <c r="B11" s="7" t="n">
        <v>5.5</v>
      </c>
    </row>
    <row r="12">
      <c r="A12" s="4" t="inlineStr">
        <is>
          <t>Contribution margin per cup</t>
        </is>
      </c>
      <c r="B12" s="6" t="n">
        <v>3.609211557552641</v>
      </c>
    </row>
    <row r="13">
      <c r="A13" s="5" t="inlineStr">
        <is>
          <t>Break-even volume (cups / month)</t>
        </is>
      </c>
      <c r="B13" s="17" t="n">
        <v>2418.34265389053</v>
      </c>
    </row>
    <row r="14"/>
    <row r="15"/>
    <row r="16">
      <c r="A16" s="2" t="inlineStr">
        <is>
          <t>Scenario projections (using regression cost model + $5.50 avg price)</t>
        </is>
      </c>
    </row>
    <row r="17">
      <c r="A17" s="3" t="inlineStr">
        <is>
          <t>Scenario</t>
        </is>
      </c>
      <c r="B17" s="3" t="inlineStr">
        <is>
          <t>Cups / Month</t>
        </is>
      </c>
      <c r="C17" s="3" t="inlineStr">
        <is>
          <t>Projected Cost</t>
        </is>
      </c>
      <c r="D17" s="3" t="inlineStr">
        <is>
          <t>Projected Revenue</t>
        </is>
      </c>
      <c r="E17" s="3" t="inlineStr">
        <is>
          <t>Projected Profit</t>
        </is>
      </c>
    </row>
    <row r="18">
      <c r="A18" s="5" t="inlineStr">
        <is>
          <t>Conservative</t>
        </is>
      </c>
      <c r="B18" s="5" t="n">
        <v>3500</v>
      </c>
      <c r="C18" s="7" t="n">
        <v>15346.06980510998</v>
      </c>
      <c r="D18" s="7" t="n">
        <v>19250</v>
      </c>
      <c r="E18" s="18" t="n">
        <v>3903.930194890017</v>
      </c>
    </row>
    <row r="19">
      <c r="A19" s="5" t="inlineStr">
        <is>
          <t>Base</t>
        </is>
      </c>
      <c r="B19" s="5" t="n">
        <v>4200</v>
      </c>
      <c r="C19" s="7" t="n">
        <v>16669.62171482314</v>
      </c>
      <c r="D19" s="7" t="n">
        <v>23100</v>
      </c>
      <c r="E19" s="18" t="n">
        <v>6430.378285176863</v>
      </c>
    </row>
    <row r="20">
      <c r="A20" s="5" t="inlineStr">
        <is>
          <t>Growth</t>
        </is>
      </c>
      <c r="B20" s="5" t="n">
        <v>5200</v>
      </c>
      <c r="C20" s="7" t="n">
        <v>18560.41015727049</v>
      </c>
      <c r="D20" s="7" t="n">
        <v>28600</v>
      </c>
      <c r="E20" s="18" t="n">
        <v>10039.58984272951</v>
      </c>
    </row>
    <row r="21">
      <c r="A21" s="5" t="inlineStr">
        <is>
          <t>Peak summer</t>
        </is>
      </c>
      <c r="B21" s="5" t="n">
        <v>5600</v>
      </c>
      <c r="C21" s="7" t="n">
        <v>19316.72553424944</v>
      </c>
      <c r="D21" s="7" t="n">
        <v>30800</v>
      </c>
      <c r="E21" s="18" t="n">
        <v>11483.27446575056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55" customWidth="1" min="3" max="3"/>
    <col width="25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Simple Linear Regression — Forecasting Total Cost from Volume</t>
        </is>
      </c>
    </row>
    <row r="2">
      <c r="A2" s="2" t="inlineStr">
        <is>
          <t>Model: Total Cost (Y) = Intercept (a) + Slope (b) × Cups Sold (X)</t>
        </is>
      </c>
    </row>
    <row r="3"/>
    <row r="4">
      <c r="A4" s="11" t="inlineStr">
        <is>
          <t>Regression Output (equivalent to Excel Data Analysis &gt; Regression)</t>
        </is>
      </c>
    </row>
    <row r="5">
      <c r="A5" s="3" t="inlineStr">
        <is>
          <t>Statistic</t>
        </is>
      </c>
      <c r="B5" s="3" t="inlineStr">
        <is>
          <t>Value</t>
        </is>
      </c>
      <c r="C5" s="3" t="inlineStr">
        <is>
          <t>Interpretation</t>
        </is>
      </c>
    </row>
    <row r="6">
      <c r="A6" s="5" t="inlineStr">
        <is>
          <t>Intercept (a) — Fixed cost estimate</t>
        </is>
      </c>
      <c r="B6" s="7" t="n">
        <v>8728.310256544228</v>
      </c>
      <c r="C6" s="5" t="inlineStr">
        <is>
          <t>When cups = 0, expected monthly cost ≈ $8,728</t>
        </is>
      </c>
    </row>
    <row r="7">
      <c r="A7" s="5" t="inlineStr">
        <is>
          <t>Slope (b) — Variable cost / cup</t>
        </is>
      </c>
      <c r="B7" s="7" t="n">
        <v>1.890788442447359</v>
      </c>
      <c r="C7" s="5" t="inlineStr">
        <is>
          <t>Each extra cup adds ≈ $1.89 to total cost</t>
        </is>
      </c>
    </row>
    <row r="8">
      <c r="A8" s="5" t="inlineStr">
        <is>
          <t>R-squared</t>
        </is>
      </c>
      <c r="B8" s="22" t="n">
        <v>0.999499749591376</v>
      </c>
      <c r="C8" s="5" t="inlineStr">
        <is>
          <t>99.9% of cost variation explained by volume</t>
        </is>
      </c>
    </row>
    <row r="9">
      <c r="A9" s="5" t="inlineStr">
        <is>
          <t>Correlation (r)</t>
        </is>
      </c>
      <c r="B9" s="22" t="n">
        <v>0.9997498435065525</v>
      </c>
      <c r="C9" s="5" t="inlineStr">
        <is>
          <t>Strong positive linear relationship</t>
        </is>
      </c>
    </row>
    <row r="10">
      <c r="A10" s="5" t="inlineStr">
        <is>
          <t>p-value (slope)</t>
        </is>
      </c>
      <c r="B10" s="23" t="n">
        <v>7.711313995521844e-18</v>
      </c>
      <c r="C10" s="5" t="inlineStr">
        <is>
          <t>Slope is statistically significant (p &lt; 0.05)</t>
        </is>
      </c>
    </row>
    <row r="11">
      <c r="A11" s="5" t="inlineStr">
        <is>
          <t>Standard error (slope)</t>
        </is>
      </c>
      <c r="B11" s="22" t="n">
        <v>0.01337658705205681</v>
      </c>
      <c r="C11" s="5" t="inlineStr">
        <is>
          <t>Precision of the variable-cost estimate</t>
        </is>
      </c>
    </row>
    <row r="12">
      <c r="A12" s="5" t="inlineStr">
        <is>
          <t>Observations (n)</t>
        </is>
      </c>
      <c r="B12" s="17" t="n">
        <v>12</v>
      </c>
      <c r="C12" s="5" t="inlineStr">
        <is>
          <t>Months of operating data</t>
        </is>
      </c>
    </row>
    <row r="13"/>
    <row r="14"/>
    <row r="15">
      <c r="A15" s="11" t="inlineStr">
        <is>
          <t>Fitted values &amp; residuals</t>
        </is>
      </c>
    </row>
    <row r="16">
      <c r="A16" s="3" t="inlineStr">
        <is>
          <t>Month</t>
        </is>
      </c>
      <c r="B16" s="3" t="inlineStr">
        <is>
          <t>Cups (X)</t>
        </is>
      </c>
      <c r="C16" s="3" t="inlineStr">
        <is>
          <t>Actual Cost (Y)</t>
        </is>
      </c>
      <c r="D16" s="3" t="inlineStr">
        <is>
          <t>Predicted Cost</t>
        </is>
      </c>
      <c r="E16" s="3" t="inlineStr">
        <is>
          <t>Residual</t>
        </is>
      </c>
      <c r="G16" t="inlineStr">
        <is>
          <t>Cups</t>
        </is>
      </c>
      <c r="H16" t="inlineStr">
        <is>
          <t>Cost</t>
        </is>
      </c>
    </row>
    <row r="17">
      <c r="A17" s="5" t="inlineStr">
        <is>
          <t>Jan</t>
        </is>
      </c>
      <c r="B17" s="5" t="n">
        <v>3200</v>
      </c>
      <c r="C17" s="7" t="n">
        <v>14820</v>
      </c>
      <c r="D17" s="7" t="n">
        <v>14778.83327237578</v>
      </c>
      <c r="E17" s="7" t="n">
        <v>41.16672762422422</v>
      </c>
      <c r="G17" t="n">
        <v>3200</v>
      </c>
      <c r="H17" t="n">
        <v>14820</v>
      </c>
    </row>
    <row r="18">
      <c r="A18" s="5" t="inlineStr">
        <is>
          <t>Feb</t>
        </is>
      </c>
      <c r="B18" s="5" t="n">
        <v>3450</v>
      </c>
      <c r="C18" s="7" t="n">
        <v>15240</v>
      </c>
      <c r="D18" s="7" t="n">
        <v>15251.53038298762</v>
      </c>
      <c r="E18" s="7" t="n">
        <v>-11.53038298761567</v>
      </c>
      <c r="G18" t="n">
        <v>3450</v>
      </c>
      <c r="H18" t="n">
        <v>15240</v>
      </c>
    </row>
    <row r="19">
      <c r="A19" s="5" t="inlineStr">
        <is>
          <t>Mar</t>
        </is>
      </c>
      <c r="B19" s="5" t="n">
        <v>3800</v>
      </c>
      <c r="C19" s="7" t="n">
        <v>15890</v>
      </c>
      <c r="D19" s="7" t="n">
        <v>15913.30633784419</v>
      </c>
      <c r="E19" s="7" t="n">
        <v>-23.30633784419115</v>
      </c>
      <c r="G19" t="n">
        <v>3800</v>
      </c>
      <c r="H19" t="n">
        <v>15890</v>
      </c>
    </row>
    <row r="20">
      <c r="A20" s="5" t="inlineStr">
        <is>
          <t>Apr</t>
        </is>
      </c>
      <c r="B20" s="5" t="n">
        <v>4100</v>
      </c>
      <c r="C20" s="7" t="n">
        <v>16450</v>
      </c>
      <c r="D20" s="7" t="n">
        <v>16480.5428705784</v>
      </c>
      <c r="E20" s="7" t="n">
        <v>-30.54287057839974</v>
      </c>
      <c r="G20" t="n">
        <v>4100</v>
      </c>
      <c r="H20" t="n">
        <v>16450</v>
      </c>
    </row>
    <row r="21">
      <c r="A21" s="5" t="inlineStr">
        <is>
          <t>May</t>
        </is>
      </c>
      <c r="B21" s="5" t="n">
        <v>4450</v>
      </c>
      <c r="C21" s="7" t="n">
        <v>17120</v>
      </c>
      <c r="D21" s="7" t="n">
        <v>17142.31882543497</v>
      </c>
      <c r="E21" s="7" t="n">
        <v>-22.31882543497341</v>
      </c>
      <c r="G21" t="n">
        <v>4450</v>
      </c>
      <c r="H21" t="n">
        <v>17120</v>
      </c>
    </row>
    <row r="22">
      <c r="A22" s="5" t="inlineStr">
        <is>
          <t>Jun</t>
        </is>
      </c>
      <c r="B22" s="5" t="n">
        <v>4800</v>
      </c>
      <c r="C22" s="7" t="n">
        <v>17800</v>
      </c>
      <c r="D22" s="7" t="n">
        <v>17804.09478029155</v>
      </c>
      <c r="E22" s="7" t="n">
        <v>-4.094780291550705</v>
      </c>
      <c r="G22" t="n">
        <v>4800</v>
      </c>
      <c r="H22" t="n">
        <v>17800</v>
      </c>
    </row>
    <row r="23">
      <c r="A23" s="5" t="inlineStr">
        <is>
          <t>Jul</t>
        </is>
      </c>
      <c r="B23" s="5" t="n">
        <v>5100</v>
      </c>
      <c r="C23" s="7" t="n">
        <v>18350</v>
      </c>
      <c r="D23" s="7" t="n">
        <v>18371.33131302576</v>
      </c>
      <c r="E23" s="7" t="n">
        <v>-21.3313130257593</v>
      </c>
      <c r="G23" t="n">
        <v>5100</v>
      </c>
      <c r="H23" t="n">
        <v>18350</v>
      </c>
    </row>
    <row r="24">
      <c r="A24" s="5" t="inlineStr">
        <is>
          <t>Aug</t>
        </is>
      </c>
      <c r="B24" s="5" t="n">
        <v>4950</v>
      </c>
      <c r="C24" s="7" t="n">
        <v>18120</v>
      </c>
      <c r="D24" s="7" t="n">
        <v>18087.71304665865</v>
      </c>
      <c r="E24" s="7" t="n">
        <v>32.28695334134682</v>
      </c>
      <c r="G24" t="n">
        <v>4950</v>
      </c>
      <c r="H24" t="n">
        <v>18120</v>
      </c>
    </row>
    <row r="25">
      <c r="A25" s="5" t="inlineStr">
        <is>
          <t>Sep</t>
        </is>
      </c>
      <c r="B25" s="5" t="n">
        <v>4300</v>
      </c>
      <c r="C25" s="7" t="n">
        <v>16880</v>
      </c>
      <c r="D25" s="7" t="n">
        <v>16858.70055906787</v>
      </c>
      <c r="E25" s="7" t="n">
        <v>21.29944093212907</v>
      </c>
      <c r="G25" t="n">
        <v>4300</v>
      </c>
      <c r="H25" t="n">
        <v>16880</v>
      </c>
    </row>
    <row r="26">
      <c r="A26" s="5" t="inlineStr">
        <is>
          <t>Oct</t>
        </is>
      </c>
      <c r="B26" s="5" t="n">
        <v>4000</v>
      </c>
      <c r="C26" s="7" t="n">
        <v>16290</v>
      </c>
      <c r="D26" s="7" t="n">
        <v>16291.46402633366</v>
      </c>
      <c r="E26" s="7" t="n">
        <v>-1.464026333662332</v>
      </c>
      <c r="G26" t="n">
        <v>4000</v>
      </c>
      <c r="H26" t="n">
        <v>16290</v>
      </c>
    </row>
    <row r="27">
      <c r="A27" s="5" t="inlineStr">
        <is>
          <t>Nov</t>
        </is>
      </c>
      <c r="B27" s="5" t="n">
        <v>3700</v>
      </c>
      <c r="C27" s="7" t="n">
        <v>15710</v>
      </c>
      <c r="D27" s="7" t="n">
        <v>15724.22749359946</v>
      </c>
      <c r="E27" s="7" t="n">
        <v>-14.22749359945556</v>
      </c>
      <c r="G27" t="n">
        <v>3700</v>
      </c>
      <c r="H27" t="n">
        <v>15710</v>
      </c>
    </row>
    <row r="28">
      <c r="A28" s="5" t="inlineStr">
        <is>
          <t>Dec</t>
        </is>
      </c>
      <c r="B28" s="5" t="n">
        <v>4600</v>
      </c>
      <c r="C28" s="7" t="n">
        <v>17460</v>
      </c>
      <c r="D28" s="7" t="n">
        <v>17425.93709180208</v>
      </c>
      <c r="E28" s="7" t="n">
        <v>34.06290819792048</v>
      </c>
      <c r="G28" t="n">
        <v>4600</v>
      </c>
      <c r="H28" t="n">
        <v>17460</v>
      </c>
    </row>
    <row r="29"/>
    <row r="30"/>
    <row r="31">
      <c r="A31" s="11" t="inlineStr">
        <is>
          <t>3-Month Cost Forecast</t>
        </is>
      </c>
    </row>
    <row r="32">
      <c r="A32" s="3" t="inlineStr">
        <is>
          <t>Period</t>
        </is>
      </c>
      <c r="B32" s="3" t="inlineStr">
        <is>
          <t>Projected Cups</t>
        </is>
      </c>
      <c r="C32" s="3" t="inlineStr">
        <is>
          <t>Forecast Total Cost</t>
        </is>
      </c>
      <c r="D32" s="3" t="inlineStr">
        <is>
          <t>Implied Revenue @ $5.50</t>
        </is>
      </c>
      <c r="E32" s="3" t="inlineStr">
        <is>
          <t>Implied Profit</t>
        </is>
      </c>
    </row>
    <row r="33">
      <c r="A33" s="5" t="inlineStr">
        <is>
          <t>Month +1</t>
        </is>
      </c>
      <c r="B33" s="5" t="n">
        <v>5200</v>
      </c>
      <c r="C33" s="7" t="n">
        <v>18560.41015727049</v>
      </c>
      <c r="D33" s="7" t="n">
        <v>28600</v>
      </c>
      <c r="E33" s="18" t="n">
        <v>10039.58984272951</v>
      </c>
    </row>
    <row r="34">
      <c r="A34" s="5" t="inlineStr">
        <is>
          <t>Month +2</t>
        </is>
      </c>
      <c r="B34" s="5" t="n">
        <v>5400</v>
      </c>
      <c r="C34" s="7" t="n">
        <v>18938.56784575996</v>
      </c>
      <c r="D34" s="7" t="n">
        <v>29700</v>
      </c>
      <c r="E34" s="18" t="n">
        <v>10761.43215424004</v>
      </c>
    </row>
    <row r="35">
      <c r="A35" s="5" t="inlineStr">
        <is>
          <t>Month +3</t>
        </is>
      </c>
      <c r="B35" s="5" t="n">
        <v>5600</v>
      </c>
      <c r="C35" s="7" t="n">
        <v>19316.72553424944</v>
      </c>
      <c r="D35" s="7" t="n">
        <v>30800</v>
      </c>
      <c r="E35" s="18" t="n">
        <v>11483.27446575056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Fixed vs Variable Costs — Quick Reference</t>
        </is>
      </c>
    </row>
    <row r="2"/>
    <row r="3">
      <c r="A3" s="3" t="inlineStr">
        <is>
          <t>Concept</t>
        </is>
      </c>
      <c r="B3" s="3" t="inlineStr">
        <is>
          <t>Explanation</t>
        </is>
      </c>
    </row>
    <row r="4">
      <c r="A4" s="9" t="inlineStr">
        <is>
          <t>Fixed costs</t>
        </is>
      </c>
      <c r="B4" s="5" t="inlineStr">
        <is>
          <t>Stay the same within a relevant range of activity (rent, salaried managers, insurance, software subscriptions).</t>
        </is>
      </c>
    </row>
    <row r="5">
      <c r="A5" s="9" t="inlineStr">
        <is>
          <t>Variable costs</t>
        </is>
      </c>
      <c r="B5" s="5" t="inlineStr">
        <is>
          <t>Change in direct proportion to volume (beans, milk, cups, hourly labor tied to shifts).</t>
        </is>
      </c>
    </row>
    <row r="6">
      <c r="A6" s="9" t="inlineStr">
        <is>
          <t>Mixed (semi-variable)</t>
        </is>
      </c>
      <c r="B6" s="5" t="inlineStr">
        <is>
          <t>Contain a fixed base plus a usage component (utilities).</t>
        </is>
      </c>
    </row>
    <row r="7">
      <c r="A7" s="9" t="inlineStr">
        <is>
          <t>Why it matters for pricing</t>
        </is>
      </c>
      <c r="B7" s="5" t="inlineStr">
        <is>
          <t>Price must cover variable cost per unit AND contribute toward fixed costs and target profit.</t>
        </is>
      </c>
    </row>
    <row r="8">
      <c r="A8" s="9" t="inlineStr">
        <is>
          <t>Contribution margin</t>
        </is>
      </c>
      <c r="B8" s="5" t="inlineStr">
        <is>
          <t>Selling price − variable cost per unit. Used for break-even and pricing floors.</t>
        </is>
      </c>
    </row>
    <row r="9">
      <c r="A9" s="9" t="inlineStr">
        <is>
          <t>Break-even cups</t>
        </is>
      </c>
      <c r="B9" s="5" t="inlineStr">
        <is>
          <t>Fixed costs ÷ contribution margin per cup.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2026-07-18T02:46:50Z</dcterms:created>
  <dcterms:modified xmlns:dcterms="http://purl.org/dc/terms/" xmlns:xsi="http://www.w3.org/2001/XMLSchema-instance" xsi:type="dcterms:W3CDTF">2026-07-18T02:46:50Z</dcterms:modified>
</cp:coreProperties>
</file>